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ebeccalapointe\codesource\ACorriger\Projet\JFOwen\"/>
    </mc:Choice>
  </mc:AlternateContent>
  <xr:revisionPtr revIDLastSave="0" documentId="13_ncr:1_{DEB25711-8059-4210-B2C8-13D6C253268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B11" i="1"/>
  <c r="B12" i="1"/>
  <c r="B13" i="1"/>
  <c r="B14" i="1"/>
  <c r="B10" i="1"/>
  <c r="B6" i="1"/>
  <c r="B7" i="1"/>
  <c r="B8" i="1"/>
  <c r="B9" i="1"/>
  <c r="B5" i="1"/>
  <c r="I13" i="1" l="1"/>
  <c r="I14" i="1"/>
  <c r="A14" i="1"/>
  <c r="B16" i="1" l="1"/>
  <c r="I16" i="1" s="1"/>
  <c r="B17" i="1"/>
  <c r="I17" i="1" s="1"/>
  <c r="B15" i="1"/>
  <c r="I15" i="1" s="1"/>
  <c r="I10" i="1"/>
  <c r="J20" i="1" l="1"/>
  <c r="A16" i="1"/>
  <c r="A6" i="1"/>
  <c r="A4" i="1"/>
  <c r="I9" i="1"/>
  <c r="I6" i="1"/>
  <c r="I4" i="1"/>
  <c r="I5" i="1"/>
  <c r="I7" i="1"/>
  <c r="I8" i="1"/>
  <c r="I3" i="1"/>
  <c r="I18" i="1" l="1"/>
  <c r="I20" i="1" s="1"/>
  <c r="I19" i="1" l="1"/>
</calcChain>
</file>

<file path=xl/sharedStrings.xml><?xml version="1.0" encoding="utf-8"?>
<sst xmlns="http://schemas.openxmlformats.org/spreadsheetml/2006/main" count="103" uniqueCount="103">
  <si>
    <t>Critère</t>
  </si>
  <si>
    <t>Excellent</t>
  </si>
  <si>
    <t>(≈100%)</t>
  </si>
  <si>
    <t>Satisfaisant</t>
  </si>
  <si>
    <t>(≈80%)</t>
  </si>
  <si>
    <t>Acceptable</t>
  </si>
  <si>
    <t>(≈60%)</t>
  </si>
  <si>
    <t>Peu satisfaisant</t>
  </si>
  <si>
    <t>(≈40%)</t>
  </si>
  <si>
    <t>Insatisfaisant</t>
  </si>
  <si>
    <t>(≤20%)</t>
  </si>
  <si>
    <t>Valeur</t>
  </si>
  <si>
    <t>Contribution</t>
  </si>
  <si>
    <t>/1</t>
  </si>
  <si>
    <t>Commentaires</t>
  </si>
  <si>
    <t>Note finale</t>
  </si>
  <si>
    <t>L’application ne plante jamais</t>
  </si>
  <si>
    <t>Aucun mauvaise pratique grave de programmation. Peu de mauvaises pratiques modérées.</t>
  </si>
  <si>
    <t>L’application ne plante pas dans un usage normal</t>
  </si>
  <si>
    <t>Peu de mauvaise pratique de programmation</t>
  </si>
  <si>
    <t>L’application plante dans un usage limite</t>
  </si>
  <si>
    <t>Plusieurs mauvaises pratiques de programmation</t>
  </si>
  <si>
    <t>L’application ne roule pas ou ne compile pas</t>
  </si>
  <si>
    <t>Qualité du processus de développement</t>
  </si>
  <si>
    <t>Persévérance soutenue dans le développement et dans la tenue du Git</t>
  </si>
  <si>
    <t>Les conventions de programmation sont toutes respectées, sans exception</t>
  </si>
  <si>
    <t>Les conventions de programmation sont toutes respectées, avec quelques oublis rares</t>
  </si>
  <si>
    <t>La plupart des conventions de programmation sont respectées</t>
  </si>
  <si>
    <t>Plusieurs conventions de programmation ne sont pas respectées</t>
  </si>
  <si>
    <t>Fonctionnement général de l'application</t>
  </si>
  <si>
    <t>Qualité de la conception et de la programmation</t>
  </si>
  <si>
    <t>Les classes respectent impeccablement le concepts oo</t>
  </si>
  <si>
    <t>Les classes respectent le concepts oo</t>
  </si>
  <si>
    <t>Les concepts oo sont majoritairement respectés</t>
  </si>
  <si>
    <t>Les concepts oo sont souvent respecté</t>
  </si>
  <si>
    <t>Les concepts oo ne sont pas respecté</t>
  </si>
  <si>
    <t>Gestion des exceptions peu manquante</t>
  </si>
  <si>
    <t>Code spaghetti</t>
  </si>
  <si>
    <t>Cohésion maximale et couplage minimal</t>
  </si>
  <si>
    <t>Gestion parfaite des exceptions</t>
  </si>
  <si>
    <t>Gestion adéquate des exceptions</t>
  </si>
  <si>
    <t>Cohésion très forte et couplage très faible</t>
  </si>
  <si>
    <t>Aucun mauvaise pratique de programmation</t>
  </si>
  <si>
    <t>Gestion acceptable des exceptions</t>
  </si>
  <si>
    <t>Cohésion forte et couplage faible</t>
  </si>
  <si>
    <t>Gestion des exceptions peu satisfaisante</t>
  </si>
  <si>
    <t>Cohésion faible et couplage inutile</t>
  </si>
  <si>
    <t>Code contenant beaucoup de mauvaises pratiques de programmation</t>
  </si>
  <si>
    <t>Qualité de l’intégration des nouveaux concepts de programmation</t>
  </si>
  <si>
    <t>Développement autonome et rigoureux</t>
  </si>
  <si>
    <t>Développement principalement autonome et rigoureux</t>
  </si>
  <si>
    <t>Développement avec aide, assez rigoureux</t>
  </si>
  <si>
    <t>Développement avec beaucoup d’aide, peu rigoureux</t>
  </si>
  <si>
    <t>Développement non autonome, non rigoureux</t>
  </si>
  <si>
    <t>Respect parfait de la structure demandée</t>
  </si>
  <si>
    <t>Respect de la structure demandée</t>
  </si>
  <si>
    <t>Respect majoritaire de la structure demandée</t>
  </si>
  <si>
    <t>Respect de la structure demandée en partie</t>
  </si>
  <si>
    <t>Non-respect de la structure demandée</t>
  </si>
  <si>
    <t>Persévérance dans le développement et dans la tenue du Git</t>
  </si>
  <si>
    <t>Persévérance minimale dans le développement et dans la tenue du Git</t>
  </si>
  <si>
    <t>Manque de persévérance dans le développement et dans la tenue du Git</t>
  </si>
  <si>
    <t>Pas de persévérance. Non tenue du Git</t>
  </si>
  <si>
    <t>Le non-respect des conventions rend le code illisible</t>
  </si>
  <si>
    <t>Processus de publication sur un serveur externe impeccable</t>
  </si>
  <si>
    <t>Implémentation excellente d’un API Web ASP.NET</t>
  </si>
  <si>
    <t>Implémentation satisfaisante d’un API Web ASP.NET</t>
  </si>
  <si>
    <t>Processus de publication sur un serveur externe satisfaisante</t>
  </si>
  <si>
    <t>Implémentation acceptable d’un API Web ASP.NET</t>
  </si>
  <si>
    <t>Implémentation peu satisfaisante d’un API Web ASP.NET</t>
  </si>
  <si>
    <t>Processus de publication sur un serveur externe peu satisfaisante</t>
  </si>
  <si>
    <t>Implémentation insatisfaisante d’un API Web ASP.NET</t>
  </si>
  <si>
    <t>Processus de publication sur un serveur externe insatisfaisante</t>
  </si>
  <si>
    <t>Total avant multiplicateur</t>
  </si>
  <si>
    <t>Multiplicateur</t>
  </si>
  <si>
    <t>L’application dépasse les fonctionnalités : 100-120%</t>
  </si>
  <si>
    <t>L’application remplit toutes les fonctionnalités : 100%</t>
  </si>
  <si>
    <t>L’application remplit la plupart fonctionnalités : 60-90%</t>
  </si>
  <si>
    <t>L’application remplit quelques fonctionnalités : 40-60%</t>
  </si>
  <si>
    <t>L’application ne remplit pas les fonctionnalités : 0-40%</t>
  </si>
  <si>
    <t xml:space="preserve">Requêtes Postman complètes </t>
  </si>
  <si>
    <t>Requêtes Postman satisfaisantes</t>
  </si>
  <si>
    <t>Requêtes Postman acceptables</t>
  </si>
  <si>
    <t xml:space="preserve">Requêtes Postman peu satisfaisantes </t>
  </si>
  <si>
    <t>L’application plante souvent</t>
  </si>
  <si>
    <t xml:space="preserve">Requêtes Postman insatisfaisantes </t>
  </si>
  <si>
    <t>Utilisation optimale d’Entity et de LINQ</t>
  </si>
  <si>
    <t>Excellente sécurité (DTO, Identity, JWT)</t>
  </si>
  <si>
    <t>Excellente journalisation</t>
  </si>
  <si>
    <t>Utilisation adéquate d’Entity et de LINQ</t>
  </si>
  <si>
    <t>Sécurité (DTO, Identity, JWT) satisfaisante</t>
  </si>
  <si>
    <t>Journalisation satisfaisante</t>
  </si>
  <si>
    <t>Utilisation acceptable d’Entity et de LINQ</t>
  </si>
  <si>
    <t>Processus de publication sur un serveur externe d’exécution</t>
  </si>
  <si>
    <t>Sécurité (DTO, Identity, JWT) acceptable</t>
  </si>
  <si>
    <t>Journalisation acceptable</t>
  </si>
  <si>
    <t>Utilisation d’Entity et de LINQ peu satisfaisante</t>
  </si>
  <si>
    <t>Sécurité (DTO, Identity, JWT) peu satisfaisante</t>
  </si>
  <si>
    <t>Journalisation peu satisfaisante</t>
  </si>
  <si>
    <t>Utilisation d’Entity et de LINQ manquante</t>
  </si>
  <si>
    <t>Sécurité (DTO, Identity, JWT) insatisfaisante</t>
  </si>
  <si>
    <t>Journalisation insatisfaisante</t>
  </si>
  <si>
    <t>Certaines requêtes sont non fonctionnelles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</si>
</sst>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b/>
      <sz val="14"/>
      <color theme="1"/>
      <name val="Century Gothic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5" xfId="0" applyFont="1" applyBorder="1" applyAlignment="1">
      <alignment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6">
    <dxf>
      <fill>
        <patternFill>
          <bgColor rgb="FFF2C0C7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99FF"/>
      <color rgb="FFF2C0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7" zoomScaleNormal="100" workbookViewId="0">
      <selection activeCell="A20" sqref="A20:H20"/>
    </sheetView>
  </sheetViews>
  <sheetFormatPr baseColWidth="10" defaultColWidth="9.140625" defaultRowHeight="15" x14ac:dyDescent="0.25"/>
  <cols>
    <col min="1" max="1" width="16.42578125" style="6" customWidth="1"/>
    <col min="2" max="2" width="5.7109375" style="38" customWidth="1"/>
    <col min="3" max="6" width="23.42578125" style="33" customWidth="1"/>
    <col min="7" max="7" width="23.42578125" style="42" customWidth="1"/>
    <col min="8" max="8" width="9.85546875" style="6" customWidth="1"/>
    <col min="9" max="9" width="12.28515625" style="6" customWidth="1"/>
    <col min="10" max="10" width="33.28515625" style="6" customWidth="1"/>
    <col min="11" max="16384" width="9.140625" style="6"/>
  </cols>
  <sheetData>
    <row r="1" spans="1:10" x14ac:dyDescent="0.25">
      <c r="A1" s="44" t="s">
        <v>0</v>
      </c>
      <c r="B1" s="24"/>
      <c r="C1" s="8" t="s">
        <v>1</v>
      </c>
      <c r="D1" s="8" t="s">
        <v>3</v>
      </c>
      <c r="E1" s="8" t="s">
        <v>5</v>
      </c>
      <c r="F1" s="8" t="s">
        <v>7</v>
      </c>
      <c r="G1" s="39" t="s">
        <v>9</v>
      </c>
      <c r="H1" s="8" t="s">
        <v>11</v>
      </c>
      <c r="I1" s="44" t="s">
        <v>12</v>
      </c>
      <c r="J1" s="49" t="s">
        <v>14</v>
      </c>
    </row>
    <row r="2" spans="1:10" ht="15.75" thickBot="1" x14ac:dyDescent="0.3">
      <c r="A2" s="45"/>
      <c r="B2" s="26"/>
      <c r="C2" s="3" t="s">
        <v>2</v>
      </c>
      <c r="D2" s="3" t="s">
        <v>4</v>
      </c>
      <c r="E2" s="3" t="s">
        <v>6</v>
      </c>
      <c r="F2" s="3" t="s">
        <v>8</v>
      </c>
      <c r="G2" s="40" t="s">
        <v>10</v>
      </c>
      <c r="H2" s="3" t="s">
        <v>13</v>
      </c>
      <c r="I2" s="45"/>
      <c r="J2" s="50"/>
    </row>
    <row r="3" spans="1:10" ht="38.25" x14ac:dyDescent="0.3">
      <c r="A3" s="8" t="s">
        <v>29</v>
      </c>
      <c r="B3" s="35">
        <v>1</v>
      </c>
      <c r="C3" s="7" t="s">
        <v>80</v>
      </c>
      <c r="D3" s="7" t="s">
        <v>81</v>
      </c>
      <c r="E3" s="7" t="s">
        <v>82</v>
      </c>
      <c r="F3" s="7" t="s">
        <v>83</v>
      </c>
      <c r="G3" s="43" t="s">
        <v>85</v>
      </c>
      <c r="H3" s="14">
        <v>0.8</v>
      </c>
      <c r="I3" s="4">
        <f>H3*B3</f>
        <v>0.8</v>
      </c>
      <c r="J3" s="15" t="s">
        <v>102</v>
      </c>
    </row>
    <row r="4" spans="1:10" ht="27.75" thickBot="1" x14ac:dyDescent="0.35">
      <c r="A4" s="5" t="str">
        <f>_xlfn.CONCAT("/",B3+B4)</f>
        <v>/2</v>
      </c>
      <c r="B4" s="36">
        <v>1</v>
      </c>
      <c r="C4" s="5" t="s">
        <v>16</v>
      </c>
      <c r="D4" s="5" t="s">
        <v>18</v>
      </c>
      <c r="E4" s="5" t="s">
        <v>20</v>
      </c>
      <c r="F4" s="5" t="s">
        <v>84</v>
      </c>
      <c r="G4" s="41" t="s">
        <v>22</v>
      </c>
      <c r="H4" s="16">
        <v>1</v>
      </c>
      <c r="I4" s="2">
        <f t="shared" ref="I4:I17" si="0">H4*B4</f>
        <v>1</v>
      </c>
      <c r="J4" s="17"/>
    </row>
    <row r="5" spans="1:10" ht="40.5" x14ac:dyDescent="0.3">
      <c r="A5" s="10" t="s">
        <v>30</v>
      </c>
      <c r="B5" s="24">
        <f>8/5</f>
        <v>1.6</v>
      </c>
      <c r="C5" s="7" t="s">
        <v>31</v>
      </c>
      <c r="D5" s="7" t="s">
        <v>32</v>
      </c>
      <c r="E5" s="7" t="s">
        <v>33</v>
      </c>
      <c r="F5" s="7" t="s">
        <v>34</v>
      </c>
      <c r="G5" s="4" t="s">
        <v>35</v>
      </c>
      <c r="H5" s="14">
        <v>1</v>
      </c>
      <c r="I5" s="7">
        <f t="shared" si="0"/>
        <v>1.6</v>
      </c>
      <c r="J5" s="15"/>
    </row>
    <row r="6" spans="1:10" ht="27" x14ac:dyDescent="0.3">
      <c r="A6" s="12" t="str">
        <f>_xlfn.CONCAT("/",SUM(B5:B9))</f>
        <v>/8</v>
      </c>
      <c r="B6" s="25">
        <f t="shared" ref="B6:B9" si="1">8/5</f>
        <v>1.6</v>
      </c>
      <c r="C6" s="1" t="s">
        <v>39</v>
      </c>
      <c r="D6" s="1" t="s">
        <v>40</v>
      </c>
      <c r="E6" s="1" t="s">
        <v>43</v>
      </c>
      <c r="F6" s="1" t="s">
        <v>45</v>
      </c>
      <c r="G6" s="34" t="s">
        <v>36</v>
      </c>
      <c r="H6" s="18">
        <v>1</v>
      </c>
      <c r="I6" s="1">
        <f t="shared" si="0"/>
        <v>1.6</v>
      </c>
      <c r="J6" s="19"/>
    </row>
    <row r="7" spans="1:10" ht="27" x14ac:dyDescent="0.3">
      <c r="A7" s="12"/>
      <c r="B7" s="25">
        <f t="shared" si="1"/>
        <v>1.6</v>
      </c>
      <c r="C7" s="1" t="s">
        <v>38</v>
      </c>
      <c r="D7" s="1" t="s">
        <v>41</v>
      </c>
      <c r="E7" s="1" t="s">
        <v>44</v>
      </c>
      <c r="F7" s="1" t="s">
        <v>46</v>
      </c>
      <c r="G7" s="34" t="s">
        <v>37</v>
      </c>
      <c r="H7" s="18">
        <v>1</v>
      </c>
      <c r="I7" s="1">
        <f t="shared" si="0"/>
        <v>1.6</v>
      </c>
      <c r="J7" s="23"/>
    </row>
    <row r="8" spans="1:10" ht="54" x14ac:dyDescent="0.3">
      <c r="A8" s="13"/>
      <c r="B8" s="25">
        <f t="shared" si="1"/>
        <v>1.6</v>
      </c>
      <c r="C8" s="1" t="s">
        <v>42</v>
      </c>
      <c r="D8" s="1" t="s">
        <v>17</v>
      </c>
      <c r="E8" s="1" t="s">
        <v>19</v>
      </c>
      <c r="F8" s="1" t="s">
        <v>21</v>
      </c>
      <c r="G8" s="34" t="s">
        <v>47</v>
      </c>
      <c r="H8" s="18">
        <v>1</v>
      </c>
      <c r="I8" s="1">
        <f t="shared" si="0"/>
        <v>1.6</v>
      </c>
      <c r="J8" s="19"/>
    </row>
    <row r="9" spans="1:10" ht="54.75" thickBot="1" x14ac:dyDescent="0.35">
      <c r="A9" s="11"/>
      <c r="B9" s="26">
        <f t="shared" si="1"/>
        <v>1.6</v>
      </c>
      <c r="C9" s="5" t="s">
        <v>25</v>
      </c>
      <c r="D9" s="5" t="s">
        <v>26</v>
      </c>
      <c r="E9" s="5" t="s">
        <v>27</v>
      </c>
      <c r="F9" s="5" t="s">
        <v>28</v>
      </c>
      <c r="G9" s="2" t="s">
        <v>63</v>
      </c>
      <c r="H9" s="16">
        <v>1</v>
      </c>
      <c r="I9" s="5">
        <f t="shared" si="0"/>
        <v>1.6</v>
      </c>
      <c r="J9" s="17"/>
    </row>
    <row r="10" spans="1:10" ht="51" x14ac:dyDescent="0.3">
      <c r="A10" s="8" t="s">
        <v>48</v>
      </c>
      <c r="B10" s="24">
        <f>8/5</f>
        <v>1.6</v>
      </c>
      <c r="C10" s="7" t="s">
        <v>86</v>
      </c>
      <c r="D10" s="7" t="s">
        <v>89</v>
      </c>
      <c r="E10" s="7" t="s">
        <v>92</v>
      </c>
      <c r="F10" s="7" t="s">
        <v>96</v>
      </c>
      <c r="G10" s="4" t="s">
        <v>99</v>
      </c>
      <c r="H10" s="14">
        <v>1</v>
      </c>
      <c r="I10" s="7">
        <f t="shared" si="0"/>
        <v>1.6</v>
      </c>
      <c r="J10" s="20"/>
    </row>
    <row r="11" spans="1:10" ht="40.5" x14ac:dyDescent="0.3">
      <c r="A11" s="9"/>
      <c r="B11" s="25">
        <f t="shared" ref="B11:B14" si="2">8/5</f>
        <v>1.6</v>
      </c>
      <c r="C11" s="1" t="s">
        <v>65</v>
      </c>
      <c r="D11" s="1" t="s">
        <v>66</v>
      </c>
      <c r="E11" s="1" t="s">
        <v>68</v>
      </c>
      <c r="F11" s="1" t="s">
        <v>69</v>
      </c>
      <c r="G11" s="34" t="s">
        <v>71</v>
      </c>
      <c r="H11" s="18">
        <v>1</v>
      </c>
      <c r="I11" s="1">
        <f t="shared" si="0"/>
        <v>1.6</v>
      </c>
      <c r="J11" s="22"/>
    </row>
    <row r="12" spans="1:10" ht="40.5" x14ac:dyDescent="0.3">
      <c r="A12" s="9"/>
      <c r="B12" s="25">
        <f t="shared" si="2"/>
        <v>1.6</v>
      </c>
      <c r="C12" s="1" t="s">
        <v>64</v>
      </c>
      <c r="D12" s="1" t="s">
        <v>67</v>
      </c>
      <c r="E12" s="1" t="s">
        <v>93</v>
      </c>
      <c r="F12" s="1" t="s">
        <v>70</v>
      </c>
      <c r="G12" s="34" t="s">
        <v>72</v>
      </c>
      <c r="H12" s="18">
        <v>1</v>
      </c>
      <c r="I12" s="1">
        <f t="shared" si="0"/>
        <v>1.6</v>
      </c>
      <c r="J12" s="22"/>
    </row>
    <row r="13" spans="1:10" ht="27" x14ac:dyDescent="0.3">
      <c r="A13" s="9"/>
      <c r="B13" s="25">
        <f t="shared" si="2"/>
        <v>1.6</v>
      </c>
      <c r="C13" s="1" t="s">
        <v>87</v>
      </c>
      <c r="D13" s="1" t="s">
        <v>90</v>
      </c>
      <c r="E13" s="1" t="s">
        <v>94</v>
      </c>
      <c r="F13" s="1" t="s">
        <v>97</v>
      </c>
      <c r="G13" s="34" t="s">
        <v>100</v>
      </c>
      <c r="H13" s="18">
        <v>1</v>
      </c>
      <c r="I13" s="1">
        <f t="shared" si="0"/>
        <v>1.6</v>
      </c>
      <c r="J13" s="22"/>
    </row>
    <row r="14" spans="1:10" ht="27.75" thickBot="1" x14ac:dyDescent="0.35">
      <c r="A14" s="3" t="str">
        <f>_xlfn.CONCAT("/",SUM(B10:B14))</f>
        <v>/8</v>
      </c>
      <c r="B14" s="26">
        <f t="shared" si="2"/>
        <v>1.6</v>
      </c>
      <c r="C14" s="5" t="s">
        <v>88</v>
      </c>
      <c r="D14" s="5" t="s">
        <v>91</v>
      </c>
      <c r="E14" s="5" t="s">
        <v>95</v>
      </c>
      <c r="F14" s="5" t="s">
        <v>98</v>
      </c>
      <c r="G14" s="2" t="s">
        <v>101</v>
      </c>
      <c r="H14" s="16">
        <v>1</v>
      </c>
      <c r="I14" s="5">
        <f t="shared" si="0"/>
        <v>1.6</v>
      </c>
      <c r="J14" s="21"/>
    </row>
    <row r="15" spans="1:10" ht="40.5" x14ac:dyDescent="0.3">
      <c r="A15" s="9" t="s">
        <v>23</v>
      </c>
      <c r="B15" s="25">
        <f>2/3</f>
        <v>0.66666666666666663</v>
      </c>
      <c r="C15" s="1" t="s">
        <v>49</v>
      </c>
      <c r="D15" s="1" t="s">
        <v>50</v>
      </c>
      <c r="E15" s="1" t="s">
        <v>51</v>
      </c>
      <c r="F15" s="1" t="s">
        <v>52</v>
      </c>
      <c r="G15" s="34" t="s">
        <v>53</v>
      </c>
      <c r="H15" s="18">
        <v>1</v>
      </c>
      <c r="I15" s="1">
        <f t="shared" si="0"/>
        <v>0.66666666666666663</v>
      </c>
      <c r="J15" s="22"/>
    </row>
    <row r="16" spans="1:10" ht="27" x14ac:dyDescent="0.3">
      <c r="A16" s="1" t="str">
        <f>_xlfn.CONCAT("/",SUM(B15:B17))</f>
        <v>/2</v>
      </c>
      <c r="B16" s="25">
        <f t="shared" ref="B16:B17" si="3">2/3</f>
        <v>0.66666666666666663</v>
      </c>
      <c r="C16" s="1" t="s">
        <v>54</v>
      </c>
      <c r="D16" s="1" t="s">
        <v>55</v>
      </c>
      <c r="E16" s="1" t="s">
        <v>56</v>
      </c>
      <c r="F16" s="1" t="s">
        <v>57</v>
      </c>
      <c r="G16" s="34" t="s">
        <v>58</v>
      </c>
      <c r="H16" s="18">
        <v>1</v>
      </c>
      <c r="I16" s="1">
        <f t="shared" si="0"/>
        <v>0.66666666666666663</v>
      </c>
      <c r="J16" s="22"/>
    </row>
    <row r="17" spans="1:10" ht="41.25" thickBot="1" x14ac:dyDescent="0.35">
      <c r="A17" s="5"/>
      <c r="B17" s="26">
        <f t="shared" si="3"/>
        <v>0.66666666666666663</v>
      </c>
      <c r="C17" s="5" t="s">
        <v>24</v>
      </c>
      <c r="D17" s="5" t="s">
        <v>59</v>
      </c>
      <c r="E17" s="5" t="s">
        <v>60</v>
      </c>
      <c r="F17" s="5" t="s">
        <v>61</v>
      </c>
      <c r="G17" s="2" t="s">
        <v>62</v>
      </c>
      <c r="H17" s="16">
        <v>1</v>
      </c>
      <c r="I17" s="5">
        <f t="shared" si="0"/>
        <v>0.66666666666666663</v>
      </c>
      <c r="J17" s="21"/>
    </row>
    <row r="18" spans="1:10" ht="15.75" thickBot="1" x14ac:dyDescent="0.3">
      <c r="A18" s="46" t="s">
        <v>73</v>
      </c>
      <c r="B18" s="47"/>
      <c r="C18" s="47"/>
      <c r="D18" s="47"/>
      <c r="E18" s="47"/>
      <c r="F18" s="47"/>
      <c r="G18" s="47"/>
      <c r="H18" s="48"/>
      <c r="I18" s="27">
        <f>SUM(I3:I17)</f>
        <v>19.800000000000004</v>
      </c>
      <c r="J18" s="1"/>
    </row>
    <row r="19" spans="1:10" ht="41.25" thickBot="1" x14ac:dyDescent="0.3">
      <c r="A19" s="3" t="s">
        <v>74</v>
      </c>
      <c r="B19" s="37"/>
      <c r="C19" s="2" t="s">
        <v>75</v>
      </c>
      <c r="D19" s="2" t="s">
        <v>76</v>
      </c>
      <c r="E19" s="2" t="s">
        <v>77</v>
      </c>
      <c r="F19" s="2" t="s">
        <v>78</v>
      </c>
      <c r="G19" s="2" t="s">
        <v>79</v>
      </c>
      <c r="H19" s="28">
        <v>1</v>
      </c>
      <c r="I19" s="29">
        <f>I18*H19</f>
        <v>19.800000000000004</v>
      </c>
      <c r="J19" s="30"/>
    </row>
    <row r="20" spans="1:10" ht="19.5" thickBot="1" x14ac:dyDescent="0.3">
      <c r="A20" s="51" t="s">
        <v>15</v>
      </c>
      <c r="B20" s="52"/>
      <c r="C20" s="52"/>
      <c r="D20" s="52"/>
      <c r="E20" s="52"/>
      <c r="F20" s="52"/>
      <c r="G20" s="52"/>
      <c r="H20" s="53"/>
      <c r="I20" s="31">
        <f>I18*H19</f>
        <v>19.800000000000004</v>
      </c>
      <c r="J20" s="32" t="str">
        <f>_xlfn.CONCAT("/", SUM(B3:B17))</f>
        <v>/20</v>
      </c>
    </row>
  </sheetData>
  <mergeCells count="5">
    <mergeCell ref="A1:A2"/>
    <mergeCell ref="A18:H18"/>
    <mergeCell ref="I1:I2"/>
    <mergeCell ref="J1:J2"/>
    <mergeCell ref="A20:H20"/>
  </mergeCells>
  <conditionalFormatting sqref="C3:C17">
    <cfRule type="expression" dxfId="5" priority="5">
      <formula>$H3=1</formula>
    </cfRule>
  </conditionalFormatting>
  <conditionalFormatting sqref="C19">
    <cfRule type="expression" dxfId="4" priority="6">
      <formula>$H$14&gt;1</formula>
    </cfRule>
  </conditionalFormatting>
  <conditionalFormatting sqref="D3:D17">
    <cfRule type="expression" dxfId="3" priority="4">
      <formula>AND($H3&gt;=0.8,$H3&lt;1)</formula>
    </cfRule>
  </conditionalFormatting>
  <conditionalFormatting sqref="E3:E17">
    <cfRule type="expression" dxfId="2" priority="2">
      <formula>AND($H3&gt;=0.6,$H3&lt;0.8)</formula>
    </cfRule>
  </conditionalFormatting>
  <conditionalFormatting sqref="F3:F19">
    <cfRule type="expression" dxfId="1" priority="1">
      <formula>AND($H3&gt;=0.4,$H3&lt;0.6)</formula>
    </cfRule>
  </conditionalFormatting>
  <conditionalFormatting sqref="G3:G17">
    <cfRule type="expression" dxfId="0" priority="3">
      <formula>AND($H3&lt;0.4)</formula>
    </cfRule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Lapointe</dc:creator>
  <cp:lastModifiedBy>Rebecca Lapointe</cp:lastModifiedBy>
  <dcterms:created xsi:type="dcterms:W3CDTF">2015-06-05T18:17:20Z</dcterms:created>
  <dcterms:modified xsi:type="dcterms:W3CDTF">2025-05-29T17:06:53Z</dcterms:modified>
</cp:coreProperties>
</file>